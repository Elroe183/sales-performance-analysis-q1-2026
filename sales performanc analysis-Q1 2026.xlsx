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3\Desktop\"/>
    </mc:Choice>
  </mc:AlternateContent>
  <xr:revisionPtr revIDLastSave="0" documentId="8_{59B01284-9AA3-419B-9343-6C36B7EAE2E0}" xr6:coauthVersionLast="47" xr6:coauthVersionMax="47" xr10:uidLastSave="{00000000-0000-0000-0000-000000000000}"/>
  <bookViews>
    <workbookView xWindow="-120" yWindow="-120" windowWidth="20730" windowHeight="11160" firstSheet="2" activeTab="4" xr2:uid="{5D8A5798-3C46-4EC6-87C0-C94F8EF357F0}"/>
  </bookViews>
  <sheets>
    <sheet name="sales dataset " sheetId="1" r:id="rId1"/>
    <sheet name="profit by product" sheetId="10" r:id="rId2"/>
    <sheet name="revenue by product" sheetId="7" r:id="rId3"/>
    <sheet name="revenue by month &amp; product" sheetId="4" r:id="rId4"/>
    <sheet name="sales dashboard" sheetId="6" r:id="rId5"/>
  </sheets>
  <definedNames>
    <definedName name="_xlnm._FilterDatabase" localSheetId="0" hidden="1">'sales dataset '!$A$1:$N$1</definedName>
  </definedNames>
  <calcPr calcId="191029"/>
  <pivotCaches>
    <pivotCache cacheId="0" r:id="rId6"/>
  </pivotCaches>
</workbook>
</file>

<file path=xl/calcChain.xml><?xml version="1.0" encoding="utf-8"?>
<calcChain xmlns="http://schemas.openxmlformats.org/spreadsheetml/2006/main">
  <c r="K25" i="1" l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  <c r="M2" i="1" s="1"/>
  <c r="A3" i="6" s="1"/>
  <c r="N2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B3" i="6" l="1"/>
  <c r="O2" i="1"/>
  <c r="C3" i="6" s="1"/>
</calcChain>
</file>

<file path=xl/sharedStrings.xml><?xml version="1.0" encoding="utf-8"?>
<sst xmlns="http://schemas.openxmlformats.org/spreadsheetml/2006/main" count="146" uniqueCount="49">
  <si>
    <t>order_id</t>
  </si>
  <si>
    <t>order_date</t>
  </si>
  <si>
    <t>product_name</t>
  </si>
  <si>
    <t>category</t>
  </si>
  <si>
    <t>city</t>
  </si>
  <si>
    <t>customer_id</t>
  </si>
  <si>
    <t>quantity</t>
  </si>
  <si>
    <t>unit_price</t>
  </si>
  <si>
    <t>unit_cost</t>
  </si>
  <si>
    <t>Laptop</t>
  </si>
  <si>
    <t>Electronics</t>
  </si>
  <si>
    <t>Addis Ababa</t>
  </si>
  <si>
    <t>C001</t>
  </si>
  <si>
    <t>Phone</t>
  </si>
  <si>
    <t>Bahir Dar</t>
  </si>
  <si>
    <t>C002</t>
  </si>
  <si>
    <t>Tablet</t>
  </si>
  <si>
    <t>Hawassa</t>
  </si>
  <si>
    <t>C003</t>
  </si>
  <si>
    <t>C004</t>
  </si>
  <si>
    <t>Headphones</t>
  </si>
  <si>
    <t>Accessories</t>
  </si>
  <si>
    <t>Dire Dawa</t>
  </si>
  <si>
    <t>C005</t>
  </si>
  <si>
    <t>Keyboard</t>
  </si>
  <si>
    <t>C006</t>
  </si>
  <si>
    <t>C007</t>
  </si>
  <si>
    <t>C008</t>
  </si>
  <si>
    <t>C009</t>
  </si>
  <si>
    <t>C010</t>
  </si>
  <si>
    <t>profit</t>
  </si>
  <si>
    <t xml:space="preserve">revenue </t>
  </si>
  <si>
    <t>Row Labels</t>
  </si>
  <si>
    <t>Grand Total</t>
  </si>
  <si>
    <t>Jan</t>
  </si>
  <si>
    <t>Feb</t>
  </si>
  <si>
    <t>Mar</t>
  </si>
  <si>
    <t>total_revenu</t>
  </si>
  <si>
    <t>total_profit</t>
  </si>
  <si>
    <t>profit_margin</t>
  </si>
  <si>
    <t xml:space="preserve">Sum of revenue </t>
  </si>
  <si>
    <t>total_profit_margin</t>
  </si>
  <si>
    <t>Column Labels</t>
  </si>
  <si>
    <t>Sales performance dashboard - Q1 2026</t>
  </si>
  <si>
    <t>Total Revenue</t>
  </si>
  <si>
    <t>Total Profit</t>
  </si>
  <si>
    <t>Profit Margin</t>
  </si>
  <si>
    <t>Top Product by Revenue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</si>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</sst>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4" fontId="0" fillId="0" borderId="0" xfId="0" applyNumberFormat="1"/>
    <xf numFmtId="2" fontId="0" fillId="0" borderId="0" xfId="0" applyNumberFormat="1"/>
    <xf numFmtId="44" fontId="0" fillId="0" borderId="0" xfId="0" applyNumberFormat="1"/>
    <xf numFmtId="1" fontId="0" fillId="0" borderId="0" xfId="0" applyNumberFormat="1"/>
    <xf numFmtId="2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1" applyNumberFormat="1" applyFont="1"/>
    <xf numFmtId="0" fontId="19" fillId="33" borderId="10" xfId="0" applyFont="1" applyFill="1" applyBorder="1"/>
    <xf numFmtId="44" fontId="18" fillId="33" borderId="10" xfId="0" applyNumberFormat="1" applyFont="1" applyFill="1" applyBorder="1"/>
    <xf numFmtId="0" fontId="19" fillId="34" borderId="10" xfId="0" applyFont="1" applyFill="1" applyBorder="1"/>
    <xf numFmtId="44" fontId="18" fillId="34" borderId="10" xfId="0" applyNumberFormat="1" applyFont="1" applyFill="1" applyBorder="1"/>
    <xf numFmtId="0" fontId="19" fillId="35" borderId="10" xfId="0" applyFont="1" applyFill="1" applyBorder="1"/>
    <xf numFmtId="10" fontId="18" fillId="35" borderId="10" xfId="0" applyNumberFormat="1" applyFont="1" applyFill="1" applyBorder="1"/>
    <xf numFmtId="0" fontId="19" fillId="36" borderId="10" xfId="0" applyFont="1" applyFill="1" applyBorder="1"/>
    <xf numFmtId="0" fontId="18" fillId="36" borderId="10" xfId="0" applyFont="1" applyFill="1" applyBorder="1"/>
    <xf numFmtId="9" fontId="0" fillId="0" borderId="0" xfId="1" applyFont="1"/>
    <xf numFmtId="0" fontId="0" fillId="0" borderId="0" xfId="1" applyNumberFormat="1" applyFont="1"/>
    <xf numFmtId="9" fontId="0" fillId="0" borderId="0" xfId="0" applyNumberFormat="1"/>
    <xf numFmtId="0" fontId="20" fillId="37" borderId="11" xfId="0" applyFont="1" applyFill="1" applyBorder="1" applyAlignment="1">
      <alignment horizontal="center"/>
    </xf>
    <xf numFmtId="0" fontId="0" fillId="37" borderId="11" xfId="0" applyFill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FFCC66"/>
      <color rgb="FFCC99FF"/>
      <color rgb="FFCC00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Monthly revenue trend - Q1 2026</a:t>
            </a:r>
          </a:p>
        </c:rich>
      </c:tx>
      <c:layout>
        <c:manualLayout>
          <c:xMode val="edge"/>
          <c:yMode val="edge"/>
          <c:x val="0.1462915573053368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Jan</c:v>
              </c:pt>
              <c:pt idx="1">
                <c:v>Feb</c:v>
              </c:pt>
              <c:pt idx="2">
                <c:v>Mar</c:v>
              </c:pt>
            </c:strLit>
          </c:cat>
          <c:val>
            <c:numLit>
              <c:formatCode>General</c:formatCode>
              <c:ptCount val="3"/>
              <c:pt idx="0">
                <c:v>8760</c:v>
              </c:pt>
              <c:pt idx="1">
                <c:v>5390</c:v>
              </c:pt>
              <c:pt idx="2">
                <c:v>9580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C69-4ED0-8E1C-8CB0C4734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7948952"/>
        <c:axId val="497912480"/>
      </c:lineChart>
      <c:catAx>
        <c:axId val="497948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2480"/>
        <c:crosses val="autoZero"/>
        <c:auto val="1"/>
        <c:lblAlgn val="ctr"/>
        <c:lblOffset val="100"/>
        <c:noMultiLvlLbl val="0"/>
      </c:catAx>
      <c:valAx>
        <c:axId val="497912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48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Total revenue by product Q1-2026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Laptop</c:v>
              </c:pt>
              <c:pt idx="1">
                <c:v>Phone</c:v>
              </c:pt>
              <c:pt idx="2">
                <c:v>Tablet</c:v>
              </c:pt>
              <c:pt idx="3">
                <c:v>Headphones</c:v>
              </c:pt>
              <c:pt idx="4">
                <c:v>Keyboard</c:v>
              </c:pt>
            </c:strLit>
          </c:cat>
          <c:val>
            <c:numLit>
              <c:formatCode>General</c:formatCode>
              <c:ptCount val="5"/>
              <c:pt idx="0">
                <c:v>8550</c:v>
              </c:pt>
              <c:pt idx="1">
                <c:v>8100</c:v>
              </c:pt>
              <c:pt idx="2">
                <c:v>3920</c:v>
              </c:pt>
              <c:pt idx="3">
                <c:v>1840</c:v>
              </c:pt>
              <c:pt idx="4">
                <c:v>1320</c:v>
              </c:pt>
            </c:numLit>
          </c:val>
          <c:extLst>
            <c:ext xmlns:c16="http://schemas.microsoft.com/office/drawing/2014/chart" uri="{C3380CC4-5D6E-409C-BE32-E72D297353CC}">
              <c16:uniqueId val="{00000000-D2FD-4B96-9B81-920F0A22745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78543152"/>
        <c:axId val="378531272"/>
      </c:barChart>
      <c:catAx>
        <c:axId val="37854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531272"/>
        <c:crosses val="autoZero"/>
        <c:auto val="1"/>
        <c:lblAlgn val="ctr"/>
        <c:lblOffset val="100"/>
        <c:noMultiLvlLbl val="0"/>
      </c:catAx>
      <c:valAx>
        <c:axId val="378531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54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 analysis-Q1 2026.xlsx]revenue by product!PivotTable1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product - Q1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'revenue by product'!$A$4:$A$9</c:f>
              <c:strCache>
                <c:ptCount val="5"/>
                <c:pt idx="0">
                  <c:v>Tablet</c:v>
                </c:pt>
                <c:pt idx="1">
                  <c:v>Phone</c:v>
                </c:pt>
                <c:pt idx="2">
                  <c:v>Laptop</c:v>
                </c:pt>
                <c:pt idx="3">
                  <c:v>Keyboard</c:v>
                </c:pt>
                <c:pt idx="4">
                  <c:v>Headphones</c:v>
                </c:pt>
              </c:strCache>
            </c:strRef>
          </c:cat>
          <c:val>
            <c:numRef>
              <c:f>'revenue by product'!$B$4:$B$9</c:f>
              <c:numCache>
                <c:formatCode>_("$"* #,##0.00_);_("$"* \(#,##0.00\);_("$"* "-"??_);_(@_)</c:formatCode>
                <c:ptCount val="5"/>
                <c:pt idx="0">
                  <c:v>3920</c:v>
                </c:pt>
                <c:pt idx="1">
                  <c:v>8100</c:v>
                </c:pt>
                <c:pt idx="2">
                  <c:v>8550</c:v>
                </c:pt>
                <c:pt idx="3">
                  <c:v>1320</c:v>
                </c:pt>
                <c:pt idx="4">
                  <c:v>1840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25-4782-B078-10DE96545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98516040"/>
        <c:axId val="398513880"/>
      </c:barChart>
      <c:catAx>
        <c:axId val="398516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513880"/>
        <c:crosses val="autoZero"/>
        <c:auto val="1"/>
        <c:lblAlgn val="ctr"/>
        <c:lblOffset val="100"/>
        <c:noMultiLvlLbl val="0"/>
      </c:catAx>
      <c:valAx>
        <c:axId val="398513880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516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performanc analysis-Q1 2026.xlsx]revenue by product!PivotTable1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Revenue share by product - Q1 2026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'revenue by product'!$B$3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92-4D81-A505-27BD7706D9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92-4D81-A505-27BD7706D9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392-4D81-A505-27BD7706D9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392-4D81-A505-27BD7706D99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392-4D81-A505-27BD7706D99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by product'!$A$4:$A$9</c:f>
              <c:strCache>
                <c:ptCount val="5"/>
                <c:pt idx="0">
                  <c:v>Tablet</c:v>
                </c:pt>
                <c:pt idx="1">
                  <c:v>Phone</c:v>
                </c:pt>
                <c:pt idx="2">
                  <c:v>Laptop</c:v>
                </c:pt>
                <c:pt idx="3">
                  <c:v>Keyboard</c:v>
                </c:pt>
                <c:pt idx="4">
                  <c:v>Headphones</c:v>
                </c:pt>
              </c:strCache>
            </c:strRef>
          </c:cat>
          <c:val>
            <c:numRef>
              <c:f>'revenue by product'!$B$4:$B$9</c:f>
              <c:numCache>
                <c:formatCode>_("$"* #,##0.00_);_("$"* \(#,##0.00\);_("$"* "-"??_);_(@_)</c:formatCode>
                <c:ptCount val="5"/>
                <c:pt idx="0">
                  <c:v>3920</c:v>
                </c:pt>
                <c:pt idx="1">
                  <c:v>8100</c:v>
                </c:pt>
                <c:pt idx="2">
                  <c:v>8550</c:v>
                </c:pt>
                <c:pt idx="3">
                  <c:v>1320</c:v>
                </c:pt>
                <c:pt idx="4">
                  <c:v>1840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392-4D81-A505-27BD7706D9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</xdr:row>
      <xdr:rowOff>253732</xdr:rowOff>
    </xdr:from>
    <xdr:to>
      <xdr:col>2</xdr:col>
      <xdr:colOff>1104900</xdr:colOff>
      <xdr:row>13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7E673C-762E-4F91-9C23-8BB233046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1106260</xdr:colOff>
      <xdr:row>2</xdr:row>
      <xdr:rowOff>253736</xdr:rowOff>
    </xdr:from>
    <xdr:to>
      <xdr:col>4</xdr:col>
      <xdr:colOff>0</xdr:colOff>
      <xdr:row>13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1CE71E-9C05-4D48-B654-53A87763DC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1083471</xdr:colOff>
      <xdr:row>13</xdr:row>
      <xdr:rowOff>130968</xdr:rowOff>
    </xdr:from>
    <xdr:to>
      <xdr:col>4</xdr:col>
      <xdr:colOff>1</xdr:colOff>
      <xdr:row>30</xdr:row>
      <xdr:rowOff>168991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7A7433D-CBE3-466A-90CE-3264AC5CB9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11906</xdr:colOff>
      <xdr:row>13</xdr:row>
      <xdr:rowOff>134809</xdr:rowOff>
    </xdr:from>
    <xdr:to>
      <xdr:col>2</xdr:col>
      <xdr:colOff>1102672</xdr:colOff>
      <xdr:row>31</xdr:row>
      <xdr:rowOff>5759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FD3F3D-67BD-4BE5-9260-39F4F80C95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3" refreshedDate="46314.183236921293" createdVersion="8" refreshedVersion="8" minRefreshableVersion="3" recordCount="24" xr:uid="{7D0E653D-1790-4E36-97CF-DBEA5E4F3695}">
  <cacheSource type="worksheet">
    <worksheetSource ref="A1:O25" sheet="sales dataset "/>
  </cacheSource>
  <cacheFields count="17">
    <cacheField name="order_id" numFmtId="0">
      <sharedItems containsSemiMixedTypes="0" containsString="0" containsNumber="1" containsInteger="1" minValue="1001" maxValue="1024"/>
    </cacheField>
    <cacheField name="order_date" numFmtId="14">
      <sharedItems containsSemiMixedTypes="0" containsNonDate="0" containsDate="1" containsString="0" minDate="2026-01-03T00:00:00" maxDate="2026-04-01T00:00:00" count="24">
        <d v="2026-01-03T00:00:00"/>
        <d v="2026-01-04T00:00:00"/>
        <d v="2026-01-06T00:00:00"/>
        <d v="2026-01-08T00:00:00"/>
        <d v="2026-01-11T00:00:00"/>
        <d v="2026-01-14T00:00:00"/>
        <d v="2026-01-18T00:00:00"/>
        <d v="2026-01-22T00:00:00"/>
        <d v="2026-02-02T00:00:00"/>
        <d v="2026-02-05T00:00:00"/>
        <d v="2026-02-08T00:00:00"/>
        <d v="2026-02-12T00:00:00"/>
        <d v="2026-02-16T00:00:00"/>
        <d v="2026-02-21T00:00:00"/>
        <d v="2026-03-01T00:00:00"/>
        <d v="2026-03-04T00:00:00"/>
        <d v="2026-03-07T00:00:00"/>
        <d v="2026-03-10T00:00:00"/>
        <d v="2026-03-14T00:00:00"/>
        <d v="2026-03-19T00:00:00"/>
        <d v="2026-03-23T00:00:00"/>
        <d v="2026-03-27T00:00:00"/>
        <d v="2026-03-29T00:00:00"/>
        <d v="2026-03-31T00:00:00"/>
      </sharedItems>
      <fieldGroup par="16"/>
    </cacheField>
    <cacheField name="product_name" numFmtId="0">
      <sharedItems count="5">
        <s v="Laptop"/>
        <s v="Phone"/>
        <s v="Tablet"/>
        <s v="Headphones"/>
        <s v="Keyboard"/>
      </sharedItems>
    </cacheField>
    <cacheField name="category" numFmtId="0">
      <sharedItems/>
    </cacheField>
    <cacheField name="city" numFmtId="0">
      <sharedItems/>
    </cacheField>
    <cacheField name="customer_id" numFmtId="0">
      <sharedItems/>
    </cacheField>
    <cacheField name="quantity" numFmtId="1">
      <sharedItems containsSemiMixedTypes="0" containsString="0" containsNumber="1" containsInteger="1" minValue="1" maxValue="8"/>
    </cacheField>
    <cacheField name="unit_price" numFmtId="44">
      <sharedItems containsSemiMixedTypes="0" containsString="0" containsNumber="1" containsInteger="1" minValue="60" maxValue="950"/>
    </cacheField>
    <cacheField name="unit_cost" numFmtId="44">
      <sharedItems containsSemiMixedTypes="0" containsString="0" containsNumber="1" containsInteger="1" minValue="32" maxValue="700"/>
    </cacheField>
    <cacheField name="revenue " numFmtId="44">
      <sharedItems containsSemiMixedTypes="0" containsString="0" containsNumber="1" containsInteger="1" minValue="240" maxValue="1900" count="17">
        <n v="1900"/>
        <n v="1350"/>
        <n v="1120"/>
        <n v="950"/>
        <n v="400"/>
        <n v="900"/>
        <n v="240"/>
        <n v="1800"/>
        <n v="840"/>
        <n v="480"/>
        <n v="420"/>
        <n v="1400"/>
        <n v="640"/>
        <n v="300"/>
        <n v="560"/>
        <n v="320"/>
        <n v="360"/>
      </sharedItems>
    </cacheField>
    <cacheField name="profit" numFmtId="44">
      <sharedItems containsSemiMixedTypes="0" containsString="0" containsNumber="1" containsInteger="1" minValue="112" maxValue="600"/>
    </cacheField>
    <cacheField name="profit_margin" numFmtId="2">
      <sharedItems containsSemiMixedTypes="0" containsString="0" containsNumber="1" minValue="26.315789473684209" maxValue="46.666666666666664"/>
    </cacheField>
    <cacheField name="total_revenu" numFmtId="0">
      <sharedItems containsString="0" containsBlank="1" containsNumber="1" containsInteger="1" minValue="23730" maxValue="23730"/>
    </cacheField>
    <cacheField name="total_profit" numFmtId="0">
      <sharedItems containsString="0" containsBlank="1" containsNumber="1" containsInteger="1" minValue="7771" maxValue="7771"/>
    </cacheField>
    <cacheField name="total_profit_margin" numFmtId="0">
      <sharedItems containsString="0" containsBlank="1" containsNumber="1" minValue="32.747576906868943" maxValue="32.747576906868943"/>
    </cacheField>
    <cacheField name="Days (order_date)" numFmtId="0" databaseField="0">
      <fieldGroup base="1">
        <rangePr groupBy="days" startDate="2026-01-03T00:00:00" endDate="2026-04-01T00:00:00"/>
        <groupItems count="368">
          <s v="&lt;1/3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1/2026"/>
        </groupItems>
      </fieldGroup>
    </cacheField>
    <cacheField name="Months (order_date)" numFmtId="0" databaseField="0">
      <fieldGroup base="1">
        <rangePr groupBy="months" startDate="2026-01-03T00:00:00" endDate="2026-04-01T00:00:00"/>
        <groupItems count="14">
          <s v="&lt;1/3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1001"/>
    <x v="0"/>
    <x v="0"/>
    <s v="Electronics"/>
    <s v="Addis Ababa"/>
    <s v="C001"/>
    <n v="2"/>
    <n v="950"/>
    <n v="700"/>
    <x v="0"/>
    <n v="500"/>
    <n v="26.315789473684209"/>
    <n v="23730"/>
    <n v="7771"/>
    <n v="32.747576906868943"/>
  </r>
  <r>
    <n v="1002"/>
    <x v="1"/>
    <x v="1"/>
    <s v="Electronics"/>
    <s v="Bahir Dar"/>
    <s v="C002"/>
    <n v="3"/>
    <n v="450"/>
    <n v="300"/>
    <x v="1"/>
    <n v="450"/>
    <n v="33.333333333333329"/>
    <m/>
    <m/>
    <m/>
  </r>
  <r>
    <n v="1003"/>
    <x v="2"/>
    <x v="2"/>
    <s v="Electronics"/>
    <s v="Hawassa"/>
    <s v="C003"/>
    <n v="4"/>
    <n v="280"/>
    <n v="180"/>
    <x v="2"/>
    <n v="400"/>
    <n v="35.714285714285715"/>
    <m/>
    <m/>
    <m/>
  </r>
  <r>
    <n v="1004"/>
    <x v="3"/>
    <x v="0"/>
    <s v="Electronics"/>
    <s v="Addis Ababa"/>
    <s v="C004"/>
    <n v="1"/>
    <n v="950"/>
    <n v="700"/>
    <x v="3"/>
    <n v="250"/>
    <n v="26.315789473684209"/>
    <m/>
    <m/>
    <m/>
  </r>
  <r>
    <n v="1005"/>
    <x v="4"/>
    <x v="3"/>
    <s v="Accessories"/>
    <s v="Dire Dawa"/>
    <s v="C005"/>
    <n v="5"/>
    <n v="80"/>
    <n v="45"/>
    <x v="4"/>
    <n v="175"/>
    <n v="43.75"/>
    <m/>
    <m/>
    <m/>
  </r>
  <r>
    <n v="1006"/>
    <x v="5"/>
    <x v="1"/>
    <s v="Electronics"/>
    <s v="Addis Ababa"/>
    <s v="C001"/>
    <n v="2"/>
    <n v="450"/>
    <n v="300"/>
    <x v="5"/>
    <n v="300"/>
    <n v="33.333333333333329"/>
    <m/>
    <m/>
    <m/>
  </r>
  <r>
    <n v="1007"/>
    <x v="6"/>
    <x v="4"/>
    <s v="Accessories"/>
    <s v="Bahir Dar"/>
    <s v="C006"/>
    <n v="4"/>
    <n v="60"/>
    <n v="32"/>
    <x v="6"/>
    <n v="112"/>
    <n v="46.666666666666664"/>
    <m/>
    <m/>
    <m/>
  </r>
  <r>
    <n v="1008"/>
    <x v="7"/>
    <x v="0"/>
    <s v="Electronics"/>
    <s v="Hawassa"/>
    <s v="C007"/>
    <n v="2"/>
    <n v="950"/>
    <n v="700"/>
    <x v="0"/>
    <n v="500"/>
    <n v="26.315789473684209"/>
    <m/>
    <m/>
    <m/>
  </r>
  <r>
    <n v="1009"/>
    <x v="8"/>
    <x v="1"/>
    <s v="Electronics"/>
    <s v="Dire Dawa"/>
    <s v="C008"/>
    <n v="4"/>
    <n v="450"/>
    <n v="300"/>
    <x v="7"/>
    <n v="600"/>
    <n v="33.333333333333329"/>
    <m/>
    <m/>
    <m/>
  </r>
  <r>
    <n v="1010"/>
    <x v="9"/>
    <x v="2"/>
    <s v="Electronics"/>
    <s v="Addis Ababa"/>
    <s v="C002"/>
    <n v="3"/>
    <n v="280"/>
    <n v="180"/>
    <x v="8"/>
    <n v="300"/>
    <n v="35.714285714285715"/>
    <m/>
    <m/>
    <m/>
  </r>
  <r>
    <n v="1011"/>
    <x v="10"/>
    <x v="3"/>
    <s v="Accessories"/>
    <s v="Hawassa"/>
    <s v="C009"/>
    <n v="6"/>
    <n v="80"/>
    <n v="45"/>
    <x v="9"/>
    <n v="210"/>
    <n v="43.75"/>
    <m/>
    <m/>
    <m/>
  </r>
  <r>
    <n v="1012"/>
    <x v="11"/>
    <x v="0"/>
    <s v="Electronics"/>
    <s v="Bahir Dar"/>
    <s v="C003"/>
    <n v="1"/>
    <n v="950"/>
    <n v="700"/>
    <x v="3"/>
    <n v="250"/>
    <n v="26.315789473684209"/>
    <m/>
    <m/>
    <m/>
  </r>
  <r>
    <n v="1013"/>
    <x v="12"/>
    <x v="4"/>
    <s v="Accessories"/>
    <s v="Addis Ababa"/>
    <s v="C010"/>
    <n v="7"/>
    <n v="60"/>
    <n v="32"/>
    <x v="10"/>
    <n v="196"/>
    <n v="46.666666666666664"/>
    <m/>
    <m/>
    <m/>
  </r>
  <r>
    <n v="1014"/>
    <x v="13"/>
    <x v="1"/>
    <s v="Electronics"/>
    <s v="Hawassa"/>
    <s v="C004"/>
    <n v="2"/>
    <n v="450"/>
    <n v="300"/>
    <x v="5"/>
    <n v="300"/>
    <n v="33.333333333333329"/>
    <m/>
    <m/>
    <m/>
  </r>
  <r>
    <n v="1015"/>
    <x v="14"/>
    <x v="0"/>
    <s v="Electronics"/>
    <s v="Dire Dawa"/>
    <s v="C005"/>
    <n v="2"/>
    <n v="950"/>
    <n v="700"/>
    <x v="0"/>
    <n v="500"/>
    <n v="26.315789473684209"/>
    <m/>
    <m/>
    <m/>
  </r>
  <r>
    <n v="1016"/>
    <x v="15"/>
    <x v="2"/>
    <s v="Electronics"/>
    <s v="Bahir Dar"/>
    <s v="C006"/>
    <n v="5"/>
    <n v="280"/>
    <n v="180"/>
    <x v="11"/>
    <n v="500"/>
    <n v="35.714285714285715"/>
    <m/>
    <m/>
    <m/>
  </r>
  <r>
    <n v="1017"/>
    <x v="16"/>
    <x v="1"/>
    <s v="Electronics"/>
    <s v="Addis Ababa"/>
    <s v="C007"/>
    <n v="3"/>
    <n v="450"/>
    <n v="300"/>
    <x v="1"/>
    <n v="450"/>
    <n v="33.333333333333329"/>
    <m/>
    <m/>
    <m/>
  </r>
  <r>
    <n v="1018"/>
    <x v="17"/>
    <x v="3"/>
    <s v="Accessories"/>
    <s v="Dire Dawa"/>
    <s v="C001"/>
    <n v="8"/>
    <n v="80"/>
    <n v="45"/>
    <x v="12"/>
    <n v="280"/>
    <n v="43.75"/>
    <m/>
    <m/>
    <m/>
  </r>
  <r>
    <n v="1019"/>
    <x v="18"/>
    <x v="4"/>
    <s v="Accessories"/>
    <s v="Hawassa"/>
    <s v="C008"/>
    <n v="5"/>
    <n v="60"/>
    <n v="32"/>
    <x v="13"/>
    <n v="140"/>
    <n v="46.666666666666664"/>
    <m/>
    <m/>
    <m/>
  </r>
  <r>
    <n v="1020"/>
    <x v="19"/>
    <x v="0"/>
    <s v="Electronics"/>
    <s v="Addis Ababa"/>
    <s v="C009"/>
    <n v="1"/>
    <n v="950"/>
    <n v="700"/>
    <x v="3"/>
    <n v="250"/>
    <n v="26.315789473684209"/>
    <m/>
    <m/>
    <m/>
  </r>
  <r>
    <n v="1021"/>
    <x v="20"/>
    <x v="1"/>
    <s v="Electronics"/>
    <s v="Bahir Dar"/>
    <s v="C010"/>
    <n v="4"/>
    <n v="450"/>
    <n v="300"/>
    <x v="7"/>
    <n v="600"/>
    <n v="33.333333333333329"/>
    <m/>
    <m/>
    <m/>
  </r>
  <r>
    <n v="1022"/>
    <x v="21"/>
    <x v="2"/>
    <s v="Electronics"/>
    <s v="Dire Dawa"/>
    <s v="C002"/>
    <n v="2"/>
    <n v="280"/>
    <n v="180"/>
    <x v="14"/>
    <n v="200"/>
    <n v="35.714285714285715"/>
    <m/>
    <m/>
    <m/>
  </r>
  <r>
    <n v="1023"/>
    <x v="22"/>
    <x v="3"/>
    <s v="Accessories"/>
    <s v="Addis Ababa"/>
    <s v="C003"/>
    <n v="4"/>
    <n v="80"/>
    <n v="45"/>
    <x v="15"/>
    <n v="140"/>
    <n v="43.75"/>
    <m/>
    <m/>
    <m/>
  </r>
  <r>
    <n v="1024"/>
    <x v="23"/>
    <x v="4"/>
    <s v="Accessories"/>
    <s v="Bahir Dar"/>
    <s v="C004"/>
    <n v="6"/>
    <n v="60"/>
    <n v="32"/>
    <x v="16"/>
    <n v="168"/>
    <n v="46.66666666666666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14256-8288-4B78-8E66-6211D270DC6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7">
    <pivotField showAll="0"/>
    <pivotField numFmtId="1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Row" showAll="0" sortType="de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" showAll="0"/>
    <pivotField numFmtId="44" showAll="0"/>
    <pivotField numFmtId="44" showAll="0"/>
    <pivotField numFmtId="44" showAll="0"/>
    <pivotField dataField="1" numFmtId="44" showAll="0"/>
    <pivotField numFmtId="2"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6">
    <i>
      <x v="3"/>
    </i>
    <i>
      <x v="2"/>
    </i>
    <i>
      <x v="4"/>
    </i>
    <i>
      <x/>
    </i>
    <i>
      <x v="1"/>
    </i>
    <i t="grand">
      <x/>
    </i>
  </rowItems>
  <colItems count="1">
    <i/>
  </colItems>
  <dataFields count="1">
    <dataField name="Sum of profit" fld="10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857064-15EB-46EF-AB3D-A907B5A54AF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9" firstHeaderRow="1" firstDataRow="1" firstDataCol="1"/>
  <pivotFields count="17">
    <pivotField showAll="0"/>
    <pivotField numFmtId="1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Row" showAll="0">
      <items count="6">
        <item x="2"/>
        <item x="1"/>
        <item x="0"/>
        <item x="4"/>
        <item x="3"/>
        <item t="default"/>
      </items>
    </pivotField>
    <pivotField showAll="0"/>
    <pivotField showAll="0"/>
    <pivotField showAll="0"/>
    <pivotField numFmtId="1" showAll="0"/>
    <pivotField numFmtId="44" showAll="0"/>
    <pivotField numFmtId="44" showAll="0"/>
    <pivotField dataField="1" numFmtId="44" showAll="0"/>
    <pivotField numFmtId="44" showAll="0"/>
    <pivotField numFmtId="2"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 " fld="9" baseField="0" baseItem="0" numFmtId="44"/>
  </dataFields>
  <chartFormats count="8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7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7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4922AA-C457-40B4-B701-5F2A7E7B4B7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G8" firstHeaderRow="1" firstDataRow="2" firstDataCol="1"/>
  <pivotFields count="17">
    <pivotField showAll="0"/>
    <pivotField axis="axisRow" numFmtId="1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numFmtId="1" showAll="0"/>
    <pivotField numFmtId="44" showAll="0"/>
    <pivotField numFmtId="44" showAll="0"/>
    <pivotField dataField="1" numFmtId="44" showAll="0"/>
    <pivotField numFmtId="44" showAll="0"/>
    <pivotField numFmtId="2" showAll="0"/>
    <pivotField showAll="0"/>
    <pivotField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16"/>
    <field x="15"/>
    <field x="1"/>
  </rowFields>
  <rowItems count="4">
    <i>
      <x v="1"/>
    </i>
    <i>
      <x v="2"/>
    </i>
    <i>
      <x v="3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revenue " fld="9" baseField="16" baseItem="1" numFmtId="44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94B4D-EA9C-450B-937F-AE9167E440C2}">
  <dimension ref="A1:O27"/>
  <sheetViews>
    <sheetView workbookViewId="0">
      <selection activeCell="Q9" sqref="Q9:S15"/>
    </sheetView>
  </sheetViews>
  <sheetFormatPr defaultRowHeight="15" x14ac:dyDescent="0.25"/>
  <cols>
    <col min="1" max="1" width="12.140625" customWidth="1"/>
    <col min="2" max="2" width="18.140625" style="1" customWidth="1"/>
    <col min="3" max="3" width="15.28515625" customWidth="1"/>
    <col min="4" max="4" width="14.42578125" customWidth="1"/>
    <col min="5" max="5" width="13.85546875" customWidth="1"/>
    <col min="6" max="6" width="12.140625" customWidth="1"/>
    <col min="7" max="7" width="12.7109375" style="4" customWidth="1"/>
    <col min="8" max="8" width="12" style="3" customWidth="1"/>
    <col min="9" max="10" width="13.28515625" style="3" customWidth="1"/>
    <col min="11" max="11" width="12.5703125" customWidth="1"/>
    <col min="12" max="12" width="13.28515625" customWidth="1"/>
    <col min="13" max="13" width="14.42578125" customWidth="1"/>
    <col min="14" max="14" width="13.140625" bestFit="1" customWidth="1"/>
    <col min="15" max="15" width="19.85546875" customWidth="1"/>
    <col min="17" max="17" width="15.7109375" customWidth="1"/>
    <col min="18" max="18" width="14.140625" customWidth="1"/>
    <col min="19" max="19" width="19.28515625" customWidth="1"/>
  </cols>
  <sheetData>
    <row r="1" spans="1:1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s="3" t="s">
        <v>7</v>
      </c>
      <c r="I1" s="3" t="s">
        <v>8</v>
      </c>
      <c r="J1" s="3" t="s">
        <v>31</v>
      </c>
      <c r="K1" s="3" t="s">
        <v>30</v>
      </c>
      <c r="L1" s="3" t="s">
        <v>39</v>
      </c>
      <c r="M1" s="3" t="s">
        <v>37</v>
      </c>
      <c r="N1" s="3" t="s">
        <v>38</v>
      </c>
      <c r="O1" s="3" t="s">
        <v>41</v>
      </c>
    </row>
    <row r="2" spans="1:15" x14ac:dyDescent="0.25">
      <c r="A2">
        <v>1001</v>
      </c>
      <c r="B2" s="1">
        <v>46025</v>
      </c>
      <c r="C2" t="s">
        <v>9</v>
      </c>
      <c r="D2" t="s">
        <v>10</v>
      </c>
      <c r="E2" t="s">
        <v>11</v>
      </c>
      <c r="F2" t="s">
        <v>12</v>
      </c>
      <c r="G2" s="4">
        <v>2</v>
      </c>
      <c r="H2" s="3">
        <v>950</v>
      </c>
      <c r="I2" s="3">
        <v>700</v>
      </c>
      <c r="J2" s="3">
        <f>G2*H2</f>
        <v>1900</v>
      </c>
      <c r="K2" s="3">
        <f>(H2-I2)*G2</f>
        <v>500</v>
      </c>
      <c r="L2" s="2">
        <f>(K2/J2)*100</f>
        <v>26.315789473684209</v>
      </c>
      <c r="M2" s="3">
        <f>SUM(J2:J25)</f>
        <v>23730</v>
      </c>
      <c r="N2" s="3">
        <f>SUM(K2:K25)</f>
        <v>7771</v>
      </c>
      <c r="O2" s="8">
        <f>(N2/M2)*100%</f>
        <v>0.32747576906868942</v>
      </c>
    </row>
    <row r="3" spans="1:15" x14ac:dyDescent="0.25">
      <c r="A3">
        <v>1002</v>
      </c>
      <c r="B3" s="1">
        <v>46026</v>
      </c>
      <c r="C3" t="s">
        <v>13</v>
      </c>
      <c r="D3" t="s">
        <v>10</v>
      </c>
      <c r="E3" t="s">
        <v>14</v>
      </c>
      <c r="F3" t="s">
        <v>15</v>
      </c>
      <c r="G3" s="4">
        <v>3</v>
      </c>
      <c r="H3" s="3">
        <v>450</v>
      </c>
      <c r="I3" s="3">
        <v>300</v>
      </c>
      <c r="J3" s="3">
        <f t="shared" ref="J3:J25" si="0">G3*H3</f>
        <v>1350</v>
      </c>
      <c r="K3" s="3">
        <f t="shared" ref="K3:K25" si="1">(H3-I3)*G3</f>
        <v>450</v>
      </c>
      <c r="L3" s="2">
        <f t="shared" ref="L3:L25" si="2">(K3/J3)*100</f>
        <v>33.333333333333329</v>
      </c>
    </row>
    <row r="4" spans="1:15" x14ac:dyDescent="0.25">
      <c r="A4">
        <v>1003</v>
      </c>
      <c r="B4" s="1">
        <v>46028</v>
      </c>
      <c r="C4" t="s">
        <v>16</v>
      </c>
      <c r="D4" t="s">
        <v>10</v>
      </c>
      <c r="E4" t="s">
        <v>17</v>
      </c>
      <c r="F4" t="s">
        <v>18</v>
      </c>
      <c r="G4" s="4">
        <v>4</v>
      </c>
      <c r="H4" s="3">
        <v>280</v>
      </c>
      <c r="I4" s="3">
        <v>180</v>
      </c>
      <c r="J4" s="3">
        <f t="shared" si="0"/>
        <v>1120</v>
      </c>
      <c r="K4" s="3">
        <f t="shared" si="1"/>
        <v>400</v>
      </c>
      <c r="L4" s="2">
        <f t="shared" si="2"/>
        <v>35.714285714285715</v>
      </c>
    </row>
    <row r="5" spans="1:15" x14ac:dyDescent="0.25">
      <c r="A5">
        <v>1004</v>
      </c>
      <c r="B5" s="1">
        <v>46030</v>
      </c>
      <c r="C5" t="s">
        <v>9</v>
      </c>
      <c r="D5" t="s">
        <v>10</v>
      </c>
      <c r="E5" t="s">
        <v>11</v>
      </c>
      <c r="F5" t="s">
        <v>19</v>
      </c>
      <c r="G5" s="4">
        <v>1</v>
      </c>
      <c r="H5" s="3">
        <v>950</v>
      </c>
      <c r="I5" s="3">
        <v>700</v>
      </c>
      <c r="J5" s="3">
        <f t="shared" si="0"/>
        <v>950</v>
      </c>
      <c r="K5" s="3">
        <f t="shared" si="1"/>
        <v>250</v>
      </c>
      <c r="L5" s="2">
        <f t="shared" si="2"/>
        <v>26.315789473684209</v>
      </c>
    </row>
    <row r="6" spans="1:15" x14ac:dyDescent="0.25">
      <c r="A6">
        <v>1005</v>
      </c>
      <c r="B6" s="1">
        <v>46033</v>
      </c>
      <c r="C6" t="s">
        <v>20</v>
      </c>
      <c r="D6" t="s">
        <v>21</v>
      </c>
      <c r="E6" t="s">
        <v>22</v>
      </c>
      <c r="F6" t="s">
        <v>23</v>
      </c>
      <c r="G6" s="4">
        <v>5</v>
      </c>
      <c r="H6" s="3">
        <v>80</v>
      </c>
      <c r="I6" s="3">
        <v>45</v>
      </c>
      <c r="J6" s="3">
        <f t="shared" si="0"/>
        <v>400</v>
      </c>
      <c r="K6" s="3">
        <f t="shared" si="1"/>
        <v>175</v>
      </c>
      <c r="L6" s="2">
        <f t="shared" si="2"/>
        <v>43.75</v>
      </c>
    </row>
    <row r="7" spans="1:15" x14ac:dyDescent="0.25">
      <c r="A7">
        <v>1006</v>
      </c>
      <c r="B7" s="1">
        <v>46036</v>
      </c>
      <c r="C7" t="s">
        <v>13</v>
      </c>
      <c r="D7" t="s">
        <v>10</v>
      </c>
      <c r="E7" t="s">
        <v>11</v>
      </c>
      <c r="F7" t="s">
        <v>12</v>
      </c>
      <c r="G7" s="4">
        <v>2</v>
      </c>
      <c r="H7" s="3">
        <v>450</v>
      </c>
      <c r="I7" s="3">
        <v>300</v>
      </c>
      <c r="J7" s="3">
        <f t="shared" si="0"/>
        <v>900</v>
      </c>
      <c r="K7" s="3">
        <f t="shared" si="1"/>
        <v>300</v>
      </c>
      <c r="L7" s="2">
        <f t="shared" si="2"/>
        <v>33.333333333333329</v>
      </c>
    </row>
    <row r="8" spans="1:15" x14ac:dyDescent="0.25">
      <c r="A8">
        <v>1007</v>
      </c>
      <c r="B8" s="1">
        <v>46040</v>
      </c>
      <c r="C8" t="s">
        <v>24</v>
      </c>
      <c r="D8" t="s">
        <v>21</v>
      </c>
      <c r="E8" t="s">
        <v>14</v>
      </c>
      <c r="F8" t="s">
        <v>25</v>
      </c>
      <c r="G8" s="4">
        <v>4</v>
      </c>
      <c r="H8" s="3">
        <v>60</v>
      </c>
      <c r="I8" s="3">
        <v>32</v>
      </c>
      <c r="J8" s="3">
        <f t="shared" si="0"/>
        <v>240</v>
      </c>
      <c r="K8" s="3">
        <f t="shared" si="1"/>
        <v>112</v>
      </c>
      <c r="L8" s="2">
        <f t="shared" si="2"/>
        <v>46.666666666666664</v>
      </c>
    </row>
    <row r="9" spans="1:15" x14ac:dyDescent="0.25">
      <c r="A9">
        <v>1008</v>
      </c>
      <c r="B9" s="1">
        <v>46044</v>
      </c>
      <c r="C9" t="s">
        <v>9</v>
      </c>
      <c r="D9" t="s">
        <v>10</v>
      </c>
      <c r="E9" t="s">
        <v>17</v>
      </c>
      <c r="F9" t="s">
        <v>26</v>
      </c>
      <c r="G9" s="4">
        <v>2</v>
      </c>
      <c r="H9" s="3">
        <v>950</v>
      </c>
      <c r="I9" s="3">
        <v>700</v>
      </c>
      <c r="J9" s="3">
        <f t="shared" si="0"/>
        <v>1900</v>
      </c>
      <c r="K9" s="3">
        <f t="shared" si="1"/>
        <v>500</v>
      </c>
      <c r="L9" s="2">
        <f t="shared" si="2"/>
        <v>26.315789473684209</v>
      </c>
    </row>
    <row r="10" spans="1:15" x14ac:dyDescent="0.25">
      <c r="A10">
        <v>1009</v>
      </c>
      <c r="B10" s="1">
        <v>46055</v>
      </c>
      <c r="C10" t="s">
        <v>13</v>
      </c>
      <c r="D10" t="s">
        <v>10</v>
      </c>
      <c r="E10" t="s">
        <v>22</v>
      </c>
      <c r="F10" t="s">
        <v>27</v>
      </c>
      <c r="G10" s="4">
        <v>4</v>
      </c>
      <c r="H10" s="3">
        <v>450</v>
      </c>
      <c r="I10" s="3">
        <v>300</v>
      </c>
      <c r="J10" s="3">
        <f t="shared" si="0"/>
        <v>1800</v>
      </c>
      <c r="K10" s="3">
        <f t="shared" si="1"/>
        <v>600</v>
      </c>
      <c r="L10" s="2">
        <f t="shared" si="2"/>
        <v>33.333333333333329</v>
      </c>
    </row>
    <row r="11" spans="1:15" x14ac:dyDescent="0.25">
      <c r="A11">
        <v>1010</v>
      </c>
      <c r="B11" s="1">
        <v>46058</v>
      </c>
      <c r="C11" t="s">
        <v>16</v>
      </c>
      <c r="D11" t="s">
        <v>10</v>
      </c>
      <c r="E11" t="s">
        <v>11</v>
      </c>
      <c r="F11" t="s">
        <v>15</v>
      </c>
      <c r="G11" s="4">
        <v>3</v>
      </c>
      <c r="H11" s="3">
        <v>280</v>
      </c>
      <c r="I11" s="3">
        <v>180</v>
      </c>
      <c r="J11" s="3">
        <f t="shared" si="0"/>
        <v>840</v>
      </c>
      <c r="K11" s="3">
        <f t="shared" si="1"/>
        <v>300</v>
      </c>
      <c r="L11" s="2">
        <f t="shared" si="2"/>
        <v>35.714285714285715</v>
      </c>
    </row>
    <row r="12" spans="1:15" x14ac:dyDescent="0.25">
      <c r="A12">
        <v>1011</v>
      </c>
      <c r="B12" s="1">
        <v>46061</v>
      </c>
      <c r="C12" t="s">
        <v>20</v>
      </c>
      <c r="D12" t="s">
        <v>21</v>
      </c>
      <c r="E12" t="s">
        <v>17</v>
      </c>
      <c r="F12" t="s">
        <v>28</v>
      </c>
      <c r="G12" s="4">
        <v>6</v>
      </c>
      <c r="H12" s="3">
        <v>80</v>
      </c>
      <c r="I12" s="3">
        <v>45</v>
      </c>
      <c r="J12" s="3">
        <f t="shared" si="0"/>
        <v>480</v>
      </c>
      <c r="K12" s="3">
        <f t="shared" si="1"/>
        <v>210</v>
      </c>
      <c r="L12" s="2">
        <f t="shared" si="2"/>
        <v>43.75</v>
      </c>
    </row>
    <row r="13" spans="1:15" x14ac:dyDescent="0.25">
      <c r="A13">
        <v>1012</v>
      </c>
      <c r="B13" s="1">
        <v>46065</v>
      </c>
      <c r="C13" t="s">
        <v>9</v>
      </c>
      <c r="D13" t="s">
        <v>10</v>
      </c>
      <c r="E13" t="s">
        <v>14</v>
      </c>
      <c r="F13" t="s">
        <v>18</v>
      </c>
      <c r="G13" s="4">
        <v>1</v>
      </c>
      <c r="H13" s="3">
        <v>950</v>
      </c>
      <c r="I13" s="3">
        <v>700</v>
      </c>
      <c r="J13" s="3">
        <f t="shared" si="0"/>
        <v>950</v>
      </c>
      <c r="K13" s="3">
        <f t="shared" si="1"/>
        <v>250</v>
      </c>
      <c r="L13" s="2">
        <f t="shared" si="2"/>
        <v>26.315789473684209</v>
      </c>
    </row>
    <row r="14" spans="1:15" x14ac:dyDescent="0.25">
      <c r="A14">
        <v>1013</v>
      </c>
      <c r="B14" s="1">
        <v>46069</v>
      </c>
      <c r="C14" t="s">
        <v>24</v>
      </c>
      <c r="D14" t="s">
        <v>21</v>
      </c>
      <c r="E14" t="s">
        <v>11</v>
      </c>
      <c r="F14" t="s">
        <v>29</v>
      </c>
      <c r="G14" s="4">
        <v>7</v>
      </c>
      <c r="H14" s="3">
        <v>60</v>
      </c>
      <c r="I14" s="3">
        <v>32</v>
      </c>
      <c r="J14" s="3">
        <f t="shared" si="0"/>
        <v>420</v>
      </c>
      <c r="K14" s="3">
        <f t="shared" si="1"/>
        <v>196</v>
      </c>
      <c r="L14" s="2">
        <f t="shared" si="2"/>
        <v>46.666666666666664</v>
      </c>
    </row>
    <row r="15" spans="1:15" x14ac:dyDescent="0.25">
      <c r="A15">
        <v>1014</v>
      </c>
      <c r="B15" s="1">
        <v>46074</v>
      </c>
      <c r="C15" t="s">
        <v>13</v>
      </c>
      <c r="D15" t="s">
        <v>10</v>
      </c>
      <c r="E15" t="s">
        <v>17</v>
      </c>
      <c r="F15" t="s">
        <v>19</v>
      </c>
      <c r="G15" s="4">
        <v>2</v>
      </c>
      <c r="H15" s="3">
        <v>450</v>
      </c>
      <c r="I15" s="3">
        <v>300</v>
      </c>
      <c r="J15" s="3">
        <f t="shared" si="0"/>
        <v>900</v>
      </c>
      <c r="K15" s="3">
        <f t="shared" si="1"/>
        <v>300</v>
      </c>
      <c r="L15" s="2">
        <f t="shared" si="2"/>
        <v>33.333333333333329</v>
      </c>
    </row>
    <row r="16" spans="1:15" x14ac:dyDescent="0.25">
      <c r="A16">
        <v>1015</v>
      </c>
      <c r="B16" s="1">
        <v>46082</v>
      </c>
      <c r="C16" t="s">
        <v>9</v>
      </c>
      <c r="D16" t="s">
        <v>10</v>
      </c>
      <c r="E16" t="s">
        <v>22</v>
      </c>
      <c r="F16" t="s">
        <v>23</v>
      </c>
      <c r="G16" s="4">
        <v>2</v>
      </c>
      <c r="H16" s="3">
        <v>950</v>
      </c>
      <c r="I16" s="3">
        <v>700</v>
      </c>
      <c r="J16" s="3">
        <f t="shared" si="0"/>
        <v>1900</v>
      </c>
      <c r="K16" s="3">
        <f t="shared" si="1"/>
        <v>500</v>
      </c>
      <c r="L16" s="2">
        <f t="shared" si="2"/>
        <v>26.315789473684209</v>
      </c>
    </row>
    <row r="17" spans="1:12" x14ac:dyDescent="0.25">
      <c r="A17">
        <v>1016</v>
      </c>
      <c r="B17" s="1">
        <v>46085</v>
      </c>
      <c r="C17" t="s">
        <v>16</v>
      </c>
      <c r="D17" t="s">
        <v>10</v>
      </c>
      <c r="E17" t="s">
        <v>14</v>
      </c>
      <c r="F17" t="s">
        <v>25</v>
      </c>
      <c r="G17" s="4">
        <v>5</v>
      </c>
      <c r="H17" s="3">
        <v>280</v>
      </c>
      <c r="I17" s="3">
        <v>180</v>
      </c>
      <c r="J17" s="3">
        <f t="shared" si="0"/>
        <v>1400</v>
      </c>
      <c r="K17" s="3">
        <f t="shared" si="1"/>
        <v>500</v>
      </c>
      <c r="L17" s="2">
        <f t="shared" si="2"/>
        <v>35.714285714285715</v>
      </c>
    </row>
    <row r="18" spans="1:12" x14ac:dyDescent="0.25">
      <c r="A18">
        <v>1017</v>
      </c>
      <c r="B18" s="1">
        <v>46088</v>
      </c>
      <c r="C18" t="s">
        <v>13</v>
      </c>
      <c r="D18" t="s">
        <v>10</v>
      </c>
      <c r="E18" t="s">
        <v>11</v>
      </c>
      <c r="F18" t="s">
        <v>26</v>
      </c>
      <c r="G18" s="4">
        <v>3</v>
      </c>
      <c r="H18" s="3">
        <v>450</v>
      </c>
      <c r="I18" s="3">
        <v>300</v>
      </c>
      <c r="J18" s="3">
        <f t="shared" si="0"/>
        <v>1350</v>
      </c>
      <c r="K18" s="3">
        <f t="shared" si="1"/>
        <v>450</v>
      </c>
      <c r="L18" s="2">
        <f t="shared" si="2"/>
        <v>33.333333333333329</v>
      </c>
    </row>
    <row r="19" spans="1:12" x14ac:dyDescent="0.25">
      <c r="A19">
        <v>1018</v>
      </c>
      <c r="B19" s="1">
        <v>46091</v>
      </c>
      <c r="C19" t="s">
        <v>20</v>
      </c>
      <c r="D19" t="s">
        <v>21</v>
      </c>
      <c r="E19" t="s">
        <v>22</v>
      </c>
      <c r="F19" t="s">
        <v>12</v>
      </c>
      <c r="G19" s="4">
        <v>8</v>
      </c>
      <c r="H19" s="3">
        <v>80</v>
      </c>
      <c r="I19" s="3">
        <v>45</v>
      </c>
      <c r="J19" s="3">
        <f t="shared" si="0"/>
        <v>640</v>
      </c>
      <c r="K19" s="3">
        <f t="shared" si="1"/>
        <v>280</v>
      </c>
      <c r="L19" s="2">
        <f t="shared" si="2"/>
        <v>43.75</v>
      </c>
    </row>
    <row r="20" spans="1:12" x14ac:dyDescent="0.25">
      <c r="A20">
        <v>1019</v>
      </c>
      <c r="B20" s="1">
        <v>46095</v>
      </c>
      <c r="C20" t="s">
        <v>24</v>
      </c>
      <c r="D20" t="s">
        <v>21</v>
      </c>
      <c r="E20" t="s">
        <v>17</v>
      </c>
      <c r="F20" t="s">
        <v>27</v>
      </c>
      <c r="G20" s="4">
        <v>5</v>
      </c>
      <c r="H20" s="3">
        <v>60</v>
      </c>
      <c r="I20" s="3">
        <v>32</v>
      </c>
      <c r="J20" s="3">
        <f t="shared" si="0"/>
        <v>300</v>
      </c>
      <c r="K20" s="3">
        <f t="shared" si="1"/>
        <v>140</v>
      </c>
      <c r="L20" s="2">
        <f t="shared" si="2"/>
        <v>46.666666666666664</v>
      </c>
    </row>
    <row r="21" spans="1:12" x14ac:dyDescent="0.25">
      <c r="A21">
        <v>1020</v>
      </c>
      <c r="B21" s="1">
        <v>46100</v>
      </c>
      <c r="C21" t="s">
        <v>9</v>
      </c>
      <c r="D21" t="s">
        <v>10</v>
      </c>
      <c r="E21" t="s">
        <v>11</v>
      </c>
      <c r="F21" t="s">
        <v>28</v>
      </c>
      <c r="G21" s="4">
        <v>1</v>
      </c>
      <c r="H21" s="3">
        <v>950</v>
      </c>
      <c r="I21" s="3">
        <v>700</v>
      </c>
      <c r="J21" s="3">
        <f t="shared" si="0"/>
        <v>950</v>
      </c>
      <c r="K21" s="3">
        <f t="shared" si="1"/>
        <v>250</v>
      </c>
      <c r="L21" s="2">
        <f t="shared" si="2"/>
        <v>26.315789473684209</v>
      </c>
    </row>
    <row r="22" spans="1:12" x14ac:dyDescent="0.25">
      <c r="A22">
        <v>1021</v>
      </c>
      <c r="B22" s="1">
        <v>46104</v>
      </c>
      <c r="C22" t="s">
        <v>13</v>
      </c>
      <c r="D22" t="s">
        <v>10</v>
      </c>
      <c r="E22" t="s">
        <v>14</v>
      </c>
      <c r="F22" t="s">
        <v>29</v>
      </c>
      <c r="G22" s="4">
        <v>4</v>
      </c>
      <c r="H22" s="3">
        <v>450</v>
      </c>
      <c r="I22" s="3">
        <v>300</v>
      </c>
      <c r="J22" s="3">
        <f t="shared" si="0"/>
        <v>1800</v>
      </c>
      <c r="K22" s="3">
        <f t="shared" si="1"/>
        <v>600</v>
      </c>
      <c r="L22" s="2">
        <f t="shared" si="2"/>
        <v>33.333333333333329</v>
      </c>
    </row>
    <row r="23" spans="1:12" x14ac:dyDescent="0.25">
      <c r="A23">
        <v>1022</v>
      </c>
      <c r="B23" s="1">
        <v>46108</v>
      </c>
      <c r="C23" t="s">
        <v>16</v>
      </c>
      <c r="D23" t="s">
        <v>10</v>
      </c>
      <c r="E23" t="s">
        <v>22</v>
      </c>
      <c r="F23" t="s">
        <v>15</v>
      </c>
      <c r="G23" s="4">
        <v>2</v>
      </c>
      <c r="H23" s="3">
        <v>280</v>
      </c>
      <c r="I23" s="3">
        <v>180</v>
      </c>
      <c r="J23" s="3">
        <f t="shared" si="0"/>
        <v>560</v>
      </c>
      <c r="K23" s="3">
        <f t="shared" si="1"/>
        <v>200</v>
      </c>
      <c r="L23" s="2">
        <f t="shared" si="2"/>
        <v>35.714285714285715</v>
      </c>
    </row>
    <row r="24" spans="1:12" x14ac:dyDescent="0.25">
      <c r="A24">
        <v>1023</v>
      </c>
      <c r="B24" s="1">
        <v>46110</v>
      </c>
      <c r="C24" t="s">
        <v>20</v>
      </c>
      <c r="D24" t="s">
        <v>21</v>
      </c>
      <c r="E24" t="s">
        <v>11</v>
      </c>
      <c r="F24" t="s">
        <v>18</v>
      </c>
      <c r="G24" s="4">
        <v>4</v>
      </c>
      <c r="H24" s="3">
        <v>80</v>
      </c>
      <c r="I24" s="3">
        <v>45</v>
      </c>
      <c r="J24" s="3">
        <f t="shared" si="0"/>
        <v>320</v>
      </c>
      <c r="K24" s="3">
        <f t="shared" si="1"/>
        <v>140</v>
      </c>
      <c r="L24" s="2">
        <f t="shared" si="2"/>
        <v>43.75</v>
      </c>
    </row>
    <row r="25" spans="1:12" x14ac:dyDescent="0.25">
      <c r="A25">
        <v>1024</v>
      </c>
      <c r="B25" s="1">
        <v>46112</v>
      </c>
      <c r="C25" t="s">
        <v>24</v>
      </c>
      <c r="D25" t="s">
        <v>21</v>
      </c>
      <c r="E25" t="s">
        <v>14</v>
      </c>
      <c r="F25" t="s">
        <v>19</v>
      </c>
      <c r="G25" s="4">
        <v>6</v>
      </c>
      <c r="H25" s="3">
        <v>60</v>
      </c>
      <c r="I25" s="3">
        <v>32</v>
      </c>
      <c r="J25" s="3">
        <f t="shared" si="0"/>
        <v>360</v>
      </c>
      <c r="K25" s="3">
        <f t="shared" si="1"/>
        <v>168</v>
      </c>
      <c r="L25" s="2">
        <f t="shared" si="2"/>
        <v>46.666666666666664</v>
      </c>
    </row>
    <row r="26" spans="1:12" x14ac:dyDescent="0.25">
      <c r="K26" s="3"/>
      <c r="L26" s="3"/>
    </row>
    <row r="27" spans="1:12" x14ac:dyDescent="0.25">
      <c r="J27" s="5"/>
    </row>
  </sheetData>
  <autoFilter ref="A1:N1" xr:uid="{19094B4D-EA9C-450B-937F-AE9167E440C2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D2FEE-60AF-4465-8F28-12B661F59A09}">
  <dimension ref="A3:B9"/>
  <sheetViews>
    <sheetView workbookViewId="0">
      <selection activeCell="E9" sqref="E9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3" spans="1:2" x14ac:dyDescent="0.25">
      <c r="A3" s="6" t="s">
        <v>32</v>
      </c>
      <c r="B3" t="s">
        <v>48</v>
      </c>
    </row>
    <row r="4" spans="1:2" x14ac:dyDescent="0.25">
      <c r="A4" s="7" t="s">
        <v>13</v>
      </c>
      <c r="B4" s="3">
        <v>2700</v>
      </c>
    </row>
    <row r="5" spans="1:2" x14ac:dyDescent="0.25">
      <c r="A5" s="7" t="s">
        <v>9</v>
      </c>
      <c r="B5" s="3">
        <v>2250</v>
      </c>
    </row>
    <row r="6" spans="1:2" x14ac:dyDescent="0.25">
      <c r="A6" s="7" t="s">
        <v>16</v>
      </c>
      <c r="B6" s="3">
        <v>1400</v>
      </c>
    </row>
    <row r="7" spans="1:2" x14ac:dyDescent="0.25">
      <c r="A7" s="7" t="s">
        <v>20</v>
      </c>
      <c r="B7" s="3">
        <v>805</v>
      </c>
    </row>
    <row r="8" spans="1:2" x14ac:dyDescent="0.25">
      <c r="A8" s="7" t="s">
        <v>24</v>
      </c>
      <c r="B8" s="3">
        <v>616</v>
      </c>
    </row>
    <row r="9" spans="1:2" x14ac:dyDescent="0.25">
      <c r="A9" s="7" t="s">
        <v>33</v>
      </c>
      <c r="B9" s="3">
        <v>7771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E8A86-94AE-46B9-A138-7D03CEA8A7D0}">
  <dimension ref="A3:B14"/>
  <sheetViews>
    <sheetView workbookViewId="0">
      <selection activeCell="F2" sqref="F2"/>
    </sheetView>
  </sheetViews>
  <sheetFormatPr defaultRowHeight="15" x14ac:dyDescent="0.25"/>
  <cols>
    <col min="1" max="1" width="13.140625" bestFit="1" customWidth="1"/>
    <col min="2" max="3" width="15.5703125" bestFit="1" customWidth="1"/>
  </cols>
  <sheetData>
    <row r="3" spans="1:2" x14ac:dyDescent="0.25">
      <c r="A3" s="6" t="s">
        <v>32</v>
      </c>
      <c r="B3" t="s">
        <v>40</v>
      </c>
    </row>
    <row r="4" spans="1:2" x14ac:dyDescent="0.25">
      <c r="A4" s="7" t="s">
        <v>16</v>
      </c>
      <c r="B4" s="3">
        <v>3920</v>
      </c>
    </row>
    <row r="5" spans="1:2" x14ac:dyDescent="0.25">
      <c r="A5" s="7" t="s">
        <v>13</v>
      </c>
      <c r="B5" s="3">
        <v>8100</v>
      </c>
    </row>
    <row r="6" spans="1:2" x14ac:dyDescent="0.25">
      <c r="A6" s="7" t="s">
        <v>9</v>
      </c>
      <c r="B6" s="3">
        <v>8550</v>
      </c>
    </row>
    <row r="7" spans="1:2" x14ac:dyDescent="0.25">
      <c r="A7" s="7" t="s">
        <v>24</v>
      </c>
      <c r="B7" s="3">
        <v>1320</v>
      </c>
    </row>
    <row r="8" spans="1:2" x14ac:dyDescent="0.25">
      <c r="A8" s="7" t="s">
        <v>20</v>
      </c>
      <c r="B8" s="3">
        <v>1840</v>
      </c>
    </row>
    <row r="9" spans="1:2" x14ac:dyDescent="0.25">
      <c r="A9" s="7" t="s">
        <v>33</v>
      </c>
      <c r="B9" s="3">
        <v>23730</v>
      </c>
    </row>
    <row r="13" spans="1:2" x14ac:dyDescent="0.25">
      <c r="A13" s="18"/>
      <c r="B13" s="19"/>
    </row>
    <row r="14" spans="1:2" x14ac:dyDescent="0.25">
      <c r="B14" s="17"/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93600-75BE-43CA-BF69-51B717147119}">
  <dimension ref="A3:G8"/>
  <sheetViews>
    <sheetView workbookViewId="0">
      <selection activeCell="B15" sqref="B15"/>
    </sheetView>
  </sheetViews>
  <sheetFormatPr defaultRowHeight="15" x14ac:dyDescent="0.25"/>
  <cols>
    <col min="1" max="1" width="15.5703125" bestFit="1" customWidth="1"/>
    <col min="2" max="2" width="16.28515625" bestFit="1" customWidth="1"/>
    <col min="3" max="3" width="10.5703125" bestFit="1" customWidth="1"/>
    <col min="4" max="4" width="11.5703125" bestFit="1" customWidth="1"/>
    <col min="5" max="6" width="10.5703125" bestFit="1" customWidth="1"/>
    <col min="7" max="7" width="11.5703125" bestFit="1" customWidth="1"/>
  </cols>
  <sheetData>
    <row r="3" spans="1:7" x14ac:dyDescent="0.25">
      <c r="A3" s="6" t="s">
        <v>40</v>
      </c>
      <c r="B3" s="6" t="s">
        <v>42</v>
      </c>
    </row>
    <row r="4" spans="1:7" x14ac:dyDescent="0.25">
      <c r="A4" s="6" t="s">
        <v>32</v>
      </c>
      <c r="B4" t="s">
        <v>20</v>
      </c>
      <c r="C4" t="s">
        <v>24</v>
      </c>
      <c r="D4" t="s">
        <v>9</v>
      </c>
      <c r="E4" t="s">
        <v>13</v>
      </c>
      <c r="F4" t="s">
        <v>16</v>
      </c>
      <c r="G4" t="s">
        <v>33</v>
      </c>
    </row>
    <row r="5" spans="1:7" x14ac:dyDescent="0.25">
      <c r="A5" s="7" t="s">
        <v>34</v>
      </c>
      <c r="B5" s="3">
        <v>400</v>
      </c>
      <c r="C5" s="3">
        <v>240</v>
      </c>
      <c r="D5" s="3">
        <v>4750</v>
      </c>
      <c r="E5" s="3">
        <v>2250</v>
      </c>
      <c r="F5" s="3">
        <v>1120</v>
      </c>
      <c r="G5" s="3">
        <v>8760</v>
      </c>
    </row>
    <row r="6" spans="1:7" x14ac:dyDescent="0.25">
      <c r="A6" s="7" t="s">
        <v>35</v>
      </c>
      <c r="B6" s="3">
        <v>480</v>
      </c>
      <c r="C6" s="3">
        <v>420</v>
      </c>
      <c r="D6" s="3">
        <v>950</v>
      </c>
      <c r="E6" s="3">
        <v>2700</v>
      </c>
      <c r="F6" s="3">
        <v>840</v>
      </c>
      <c r="G6" s="3">
        <v>5390</v>
      </c>
    </row>
    <row r="7" spans="1:7" x14ac:dyDescent="0.25">
      <c r="A7" s="7" t="s">
        <v>36</v>
      </c>
      <c r="B7" s="3">
        <v>960</v>
      </c>
      <c r="C7" s="3">
        <v>660</v>
      </c>
      <c r="D7" s="3">
        <v>2850</v>
      </c>
      <c r="E7" s="3">
        <v>3150</v>
      </c>
      <c r="F7" s="3">
        <v>1960</v>
      </c>
      <c r="G7" s="3">
        <v>9580</v>
      </c>
    </row>
    <row r="8" spans="1:7" x14ac:dyDescent="0.25">
      <c r="A8" s="7" t="s">
        <v>33</v>
      </c>
      <c r="B8" s="3">
        <v>1840</v>
      </c>
      <c r="C8" s="3">
        <v>1320</v>
      </c>
      <c r="D8" s="3">
        <v>8550</v>
      </c>
      <c r="E8" s="3">
        <v>8100</v>
      </c>
      <c r="F8" s="3">
        <v>3920</v>
      </c>
      <c r="G8" s="3">
        <v>23730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F77FC-48A6-4389-9BD6-4B0CDD4D4396}">
  <dimension ref="A1:D3"/>
  <sheetViews>
    <sheetView showGridLines="0" tabSelected="1" zoomScale="80" zoomScaleNormal="80" workbookViewId="0">
      <selection activeCell="H24" sqref="H24"/>
    </sheetView>
  </sheetViews>
  <sheetFormatPr defaultRowHeight="15" x14ac:dyDescent="0.25"/>
  <cols>
    <col min="1" max="1" width="19.42578125" bestFit="1" customWidth="1"/>
    <col min="2" max="2" width="25" customWidth="1"/>
    <col min="3" max="3" width="40.42578125" customWidth="1"/>
    <col min="4" max="4" width="34" customWidth="1"/>
  </cols>
  <sheetData>
    <row r="1" spans="1:4" ht="23.25" x14ac:dyDescent="0.35">
      <c r="A1" s="20" t="s">
        <v>43</v>
      </c>
      <c r="B1" s="21"/>
      <c r="C1" s="21"/>
      <c r="D1" s="21"/>
    </row>
    <row r="2" spans="1:4" ht="21" x14ac:dyDescent="0.35">
      <c r="A2" s="9" t="s">
        <v>44</v>
      </c>
      <c r="B2" s="11" t="s">
        <v>45</v>
      </c>
      <c r="C2" s="13" t="s">
        <v>46</v>
      </c>
      <c r="D2" s="15" t="s">
        <v>47</v>
      </c>
    </row>
    <row r="3" spans="1:4" ht="21" x14ac:dyDescent="0.35">
      <c r="A3" s="10">
        <f>'sales dataset '!$M$2</f>
        <v>23730</v>
      </c>
      <c r="B3" s="12">
        <f>'sales dataset '!$N$2</f>
        <v>7771</v>
      </c>
      <c r="C3" s="14">
        <f>'sales dataset '!O2</f>
        <v>0.32747576906868942</v>
      </c>
      <c r="D3" s="16" t="s">
        <v>9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dataset </vt:lpstr>
      <vt:lpstr>profit by product</vt:lpstr>
      <vt:lpstr>revenue by product</vt:lpstr>
      <vt:lpstr>revenue by month &amp; product</vt:lpstr>
      <vt:lpstr>sales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user3</dc:creator>
  <cp:lastModifiedBy>user3</cp:lastModifiedBy>
  <dcterms:created xsi:type="dcterms:W3CDTF">2026-10-16T09:55:57Z</dcterms:created>
  <dcterms:modified xsi:type="dcterms:W3CDTF">2026-10-27T09:22:28Z</dcterms:modified>
</cp:coreProperties>
</file>